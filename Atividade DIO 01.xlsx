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li\OneDrive\Documentos\Curso Santander\DIO\"/>
    </mc:Choice>
  </mc:AlternateContent>
  <xr:revisionPtr revIDLastSave="0" documentId="13_ncr:1_{3F20F591-8954-4240-A9EB-70F6AC9B2374}" xr6:coauthVersionLast="47" xr6:coauthVersionMax="47" xr10:uidLastSave="{00000000-0000-0000-0000-000000000000}"/>
  <bookViews>
    <workbookView xWindow="-105" yWindow="0" windowWidth="26010" windowHeight="20985" tabRatio="64" xr2:uid="{61CE0BB1-BAC8-446F-95EA-1F1915E9A4C8}"/>
  </bookViews>
  <sheets>
    <sheet name="Simulador_de Investimentos" sheetId="1" r:id="rId1"/>
    <sheet name="BASE" sheetId="2" r:id="rId2"/>
  </sheets>
  <definedNames>
    <definedName name="INVEST_PERFIL">'Simulador_de Investimentos'!$C$35</definedName>
    <definedName name="investimento_mensal">'Simulador_de Investimentos'!$D$18</definedName>
    <definedName name="patrimonio">'Simulador_de Investimentos'!$D$21</definedName>
    <definedName name="PERFIL">'Simulador_de Investimentos'!$C$34</definedName>
    <definedName name="Rendimento_carteira">'Simulador_de Investimentos'!$J$13</definedName>
    <definedName name="salario">'Simulador_de Investimentos'!$J$12</definedName>
    <definedName name="suges_Invest">'Simulador_de Investimentos'!$J$14</definedName>
    <definedName name="taxa_mensal">'Simulador_de Investimentos'!$D$20</definedName>
    <definedName name="tempo_investido">'Simulador_de Investimentos'!$D$19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D39" i="1" s="1"/>
  <c r="C40" i="1"/>
  <c r="D40" i="1" s="1"/>
  <c r="C41" i="1"/>
  <c r="D41" i="1" s="1"/>
  <c r="C42" i="1"/>
  <c r="D42" i="1" s="1"/>
  <c r="C43" i="1"/>
  <c r="D43" i="1" s="1"/>
  <c r="C38" i="1"/>
  <c r="D38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21" i="1"/>
  <c r="D22" i="1" s="1"/>
  <c r="J14" i="1"/>
  <c r="C26" i="1"/>
  <c r="D26" i="1" s="1"/>
  <c r="C27" i="1"/>
  <c r="D27" i="1" s="1"/>
  <c r="C28" i="1"/>
  <c r="D28" i="1" s="1"/>
  <c r="C29" i="1"/>
  <c r="D29" i="1" s="1"/>
  <c r="C25" i="1"/>
  <c r="D25" i="1" s="1"/>
  <c r="D44" i="1" l="1"/>
</calcChain>
</file>

<file path=xl/sharedStrings.xml><?xml version="1.0" encoding="utf-8"?>
<sst xmlns="http://schemas.openxmlformats.org/spreadsheetml/2006/main" count="69" uniqueCount="34">
  <si>
    <t>Moderado</t>
  </si>
  <si>
    <t>Quanto investir por mês</t>
  </si>
  <si>
    <t>Por quantos anos</t>
  </si>
  <si>
    <t>Qual a taxa de rendimento mensal</t>
  </si>
  <si>
    <t>Quanto de patrimônio vai acumular</t>
  </si>
  <si>
    <t>Quanto vai receber de dividendos por mês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</si>
  <si>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</si>
  <si>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</si>
  <si>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</si>
  <si>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</si>
  <si>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</si>
  <si>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</si>
  <si>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</si>
  <si>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</si>
  <si>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</si>
  <si>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</si>
  <si>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</si>
  <si>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</si>
  <si>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</si>
  <si>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</si>
  <si>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TIPO DE FII</t>
  </si>
  <si>
    <t>Percentual Sugerido</t>
  </si>
  <si>
    <t>Valores</t>
  </si>
  <si>
    <t>PAPEL</t>
  </si>
  <si>
    <t>TIJOLO</t>
  </si>
  <si>
    <t>HIBRIDO</t>
  </si>
  <si>
    <t>FOFs</t>
  </si>
  <si>
    <t>DESENVOLVIMENTO</t>
  </si>
  <si>
    <t>HOTELARIAS</t>
  </si>
  <si>
    <t>VALOR A SER INVESTIDO POR MÊS</t>
  </si>
  <si>
    <t>Conservador</t>
  </si>
  <si>
    <t>CHAVE</t>
  </si>
  <si>
    <t>PERFIL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</si>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</sst>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72" formatCode="_-[$R$-416]\ * #,##0.00_-;\-[$R$-416]\ * #,##0.00_-;_-[$R$-416]\ * &quot;-&quot;??_-;_-@_-"/>
    <numFmt numFmtId="173" formatCode="[$R$-416]\ #,##0.00;\-[$R$-416]\ #,##0.00"/>
    <numFmt numFmtId="174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3282C"/>
      <name val="Segoe UI"/>
      <family val="2"/>
    </font>
    <font>
      <b/>
      <sz val="18"/>
      <color theme="0"/>
      <name val="Aptos Narrow"/>
      <family val="2"/>
      <scheme val="minor"/>
    </font>
    <font>
      <b/>
      <sz val="11"/>
      <color rgb="FF23282C"/>
      <name val="Segoe UI"/>
      <family val="2"/>
    </font>
    <font>
      <b/>
      <sz val="11"/>
      <color theme="1"/>
      <name val="Segoe UI"/>
      <family val="2"/>
    </font>
    <font>
      <b/>
      <sz val="11"/>
      <color theme="5" tint="-0.249977111117893"/>
      <name val="Aptos Narrow"/>
      <family val="2"/>
      <scheme val="minor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9" xfId="0" applyFill="1" applyBorder="1"/>
    <xf numFmtId="173" fontId="0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0" fontId="3" fillId="0" borderId="0" xfId="0" applyFont="1"/>
    <xf numFmtId="0" fontId="2" fillId="3" borderId="2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11" xfId="0" applyFill="1" applyBorder="1"/>
    <xf numFmtId="173" fontId="0" fillId="2" borderId="15" xfId="0" applyNumberFormat="1" applyFill="1" applyBorder="1"/>
    <xf numFmtId="173" fontId="0" fillId="2" borderId="8" xfId="0" applyNumberFormat="1" applyFill="1" applyBorder="1"/>
    <xf numFmtId="173" fontId="0" fillId="2" borderId="16" xfId="0" applyNumberFormat="1" applyFill="1" applyBorder="1"/>
    <xf numFmtId="173" fontId="0" fillId="2" borderId="17" xfId="0" applyNumberFormat="1" applyFill="1" applyBorder="1"/>
    <xf numFmtId="173" fontId="0" fillId="2" borderId="12" xfId="0" applyNumberFormat="1" applyFill="1" applyBorder="1"/>
    <xf numFmtId="173" fontId="0" fillId="0" borderId="8" xfId="1" applyNumberFormat="1" applyFont="1" applyBorder="1"/>
    <xf numFmtId="172" fontId="0" fillId="2" borderId="10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10" fontId="0" fillId="2" borderId="10" xfId="0" applyNumberForma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173" fontId="0" fillId="2" borderId="20" xfId="0" applyNumberFormat="1" applyFill="1" applyBorder="1"/>
    <xf numFmtId="0" fontId="8" fillId="5" borderId="0" xfId="0" applyFont="1" applyFill="1"/>
    <xf numFmtId="0" fontId="8" fillId="5" borderId="0" xfId="0" applyFont="1" applyFill="1" applyAlignment="1">
      <alignment horizontal="center" vertical="center"/>
    </xf>
    <xf numFmtId="0" fontId="0" fillId="6" borderId="0" xfId="0" applyFill="1"/>
    <xf numFmtId="173" fontId="0" fillId="6" borderId="0" xfId="1" applyNumberFormat="1" applyFont="1" applyFill="1" applyAlignment="1">
      <alignment horizontal="center" vertical="center"/>
    </xf>
    <xf numFmtId="0" fontId="0" fillId="0" borderId="0" xfId="0" applyFill="1"/>
    <xf numFmtId="173" fontId="0" fillId="0" borderId="0" xfId="1" applyNumberFormat="1" applyFont="1" applyFill="1" applyAlignment="1">
      <alignment horizontal="center" vertical="center"/>
    </xf>
    <xf numFmtId="0" fontId="2" fillId="7" borderId="0" xfId="0" applyFont="1" applyFill="1"/>
    <xf numFmtId="0" fontId="9" fillId="7" borderId="0" xfId="0" applyFont="1" applyFill="1"/>
    <xf numFmtId="173" fontId="9" fillId="7" borderId="0" xfId="0" applyNumberFormat="1" applyFont="1" applyFill="1"/>
    <xf numFmtId="0" fontId="0" fillId="0" borderId="14" xfId="0" applyBorder="1"/>
    <xf numFmtId="0" fontId="0" fillId="0" borderId="13" xfId="0" applyBorder="1"/>
    <xf numFmtId="0" fontId="0" fillId="0" borderId="0" xfId="0" applyBorder="1"/>
    <xf numFmtId="0" fontId="0" fillId="0" borderId="1" xfId="0" applyBorder="1"/>
    <xf numFmtId="9" fontId="0" fillId="0" borderId="2" xfId="2" applyFont="1" applyBorder="1"/>
    <xf numFmtId="9" fontId="0" fillId="0" borderId="4" xfId="2" applyFont="1" applyBorder="1"/>
    <xf numFmtId="9" fontId="0" fillId="0" borderId="6" xfId="2" applyFont="1" applyBorder="1"/>
    <xf numFmtId="9" fontId="0" fillId="0" borderId="0" xfId="2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18" xfId="0" applyFill="1" applyBorder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PT" sz="1800">
                <a:solidFill>
                  <a:schemeClr val="bg1"/>
                </a:solidFill>
              </a:rPr>
              <a:t>Evolução</a:t>
            </a:r>
            <a:r>
              <a:rPr lang="pt-PT" sz="1800" baseline="0">
                <a:solidFill>
                  <a:schemeClr val="bg1"/>
                </a:solidFill>
              </a:rPr>
              <a:t> do Patrimônio</a:t>
            </a:r>
            <a:endParaRPr lang="pt-PT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\$\ #,##0.00\ " sourceLinked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'Simulador_de Investimentos'!$B$25:$B$29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'Simulador_de Investimentos'!$C$25:$C$29</c:f>
              <c:numCache>
                <c:formatCode>[$R$-416]\ #\ ##0.00;\-[$R$-416]\ #\ ##0.00</c:formatCode>
                <c:ptCount val="5"/>
                <c:pt idx="0">
                  <c:v>27227.627297645216</c:v>
                </c:pt>
                <c:pt idx="1">
                  <c:v>83776.913998487638</c:v>
                </c:pt>
                <c:pt idx="2">
                  <c:v>243284.2125301722</c:v>
                </c:pt>
                <c:pt idx="3">
                  <c:v>1125198.4000970805</c:v>
                </c:pt>
                <c:pt idx="4">
                  <c:v>4322169.6550047146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A-44B1-B1AE-8AFC0C572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4063983"/>
        <c:axId val="1368978159"/>
      </c:barChart>
      <c:catAx>
        <c:axId val="123406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68978159"/>
        <c:crosses val="autoZero"/>
        <c:auto val="1"/>
        <c:lblAlgn val="ctr"/>
        <c:lblOffset val="100"/>
        <c:noMultiLvlLbl val="0"/>
      </c:catAx>
      <c:valAx>
        <c:axId val="1368978159"/>
        <c:scaling>
          <c:orientation val="minMax"/>
        </c:scaling>
        <c:delete val="1"/>
        <c:axPos val="b"/>
        <c:numFmt formatCode="[$R$-416]\ #\ ##0.00;\-[$R$-416]\ #\ ##0.00" sourceLinked="1"/>
        <c:majorTickMark val="none"/>
        <c:minorTickMark val="none"/>
        <c:tickLblPos val="nextTo"/>
        <c:crossAx val="123406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PT" sz="1800">
                <a:solidFill>
                  <a:schemeClr val="bg1"/>
                </a:solidFill>
              </a:rPr>
              <a:t>Total</a:t>
            </a:r>
            <a:r>
              <a:rPr lang="pt-PT" sz="1800" baseline="0">
                <a:solidFill>
                  <a:schemeClr val="bg1"/>
                </a:solidFill>
              </a:rPr>
              <a:t> por tipo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'Simulador_de Investimentos'!$B$38:$B$43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'Simulador_de Investimentos'!$C$38:$C$43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5-4777-983C-AA7039E0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BFBFBF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590549</xdr:colOff>
      <xdr:row>0</xdr:row>
      <xdr:rowOff>129225</xdr:rowOff>
    </xdr:from>
    <xdr:to>
      <xdr:col>10</xdr:col>
      <xdr:colOff>19049</xdr:colOff>
      <xdr:row>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84766F-9220-66F1-70E9-365B44B1C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49" y="129225"/>
          <a:ext cx="9896475" cy="1632900"/>
        </a:xfrm>
        <a:prstGeom prst="rect">
          <a:avLst/>
        </a:prstGeom>
      </xdr:spPr>
    </xdr:pic>
    <xdr:clientData/>
  </xdr:twoCellAnchor>
  <xdr:twoCellAnchor editAs="absolute">
    <xdr:from>
      <xdr:col>4</xdr:col>
      <xdr:colOff>114300</xdr:colOff>
      <xdr:row>16</xdr:row>
      <xdr:rowOff>9525</xdr:rowOff>
    </xdr:from>
    <xdr:to>
      <xdr:col>10</xdr:col>
      <xdr:colOff>9525</xdr:colOff>
      <xdr:row>29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8A6DDD-B678-30E4-5EA0-FB9DF8999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104774</xdr:colOff>
      <xdr:row>31</xdr:row>
      <xdr:rowOff>0</xdr:rowOff>
    </xdr:from>
    <xdr:to>
      <xdr:col>10</xdr:col>
      <xdr:colOff>28575</xdr:colOff>
      <xdr:row>44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BFB87D-597A-B61B-EF34-8C1FCA2BA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F855-0EC2-45CF-B9BC-E6F3A7AC900C}">
  <sheetPr>
    <tabColor theme="4" tint="0.39997558519241921"/>
  </sheetPr>
  <dimension ref="A1:J56"/>
  <sheetViews>
    <sheetView showGridLines="0" showRowColHeaders="0" tabSelected="1" workbookViewId="0">
      <selection activeCell="D19" sqref="D19"/>
    </sheetView>
  </sheetViews>
  <sheetFormatPr defaultColWidth="0" defaultRowHeight="15" zeroHeight="1" x14ac:dyDescent="0.25"/>
  <cols>
    <col min="1" max="1" width="9.140625" customWidth="1"/>
    <col min="2" max="2" width="40.85546875" customWidth="1"/>
    <col min="3" max="3" width="21.7109375" bestFit="1" customWidth="1"/>
    <col min="4" max="4" width="14.85546875" bestFit="1" customWidth="1"/>
    <col min="5" max="5" width="2" customWidth="1"/>
    <col min="6" max="6" width="23.7109375" customWidth="1"/>
    <col min="7" max="7" width="10.85546875" customWidth="1"/>
    <col min="8" max="8" width="9.140625" customWidth="1"/>
    <col min="9" max="9" width="11.5703125" customWidth="1"/>
    <col min="10" max="10" width="13.140625" customWidth="1"/>
    <col min="11" max="11" width="9.140625" customWidth="1"/>
    <col min="12" max="16384" width="9.140625" hidden="1"/>
  </cols>
  <sheetData>
    <row r="1" spans="2:10" x14ac:dyDescent="0.25"/>
    <row r="2" spans="2:10" x14ac:dyDescent="0.25"/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ht="24" x14ac:dyDescent="0.25">
      <c r="B11" s="45" t="s">
        <v>14</v>
      </c>
      <c r="C11" s="46"/>
      <c r="D11" s="46"/>
      <c r="E11" s="46"/>
      <c r="F11" s="46"/>
      <c r="G11" s="46"/>
      <c r="H11" s="46"/>
      <c r="I11" s="46"/>
      <c r="J11" s="47"/>
    </row>
    <row r="12" spans="2:10" x14ac:dyDescent="0.25">
      <c r="B12" s="48" t="s">
        <v>15</v>
      </c>
      <c r="C12" s="49"/>
      <c r="D12" s="49"/>
      <c r="E12" s="49"/>
      <c r="F12" s="49"/>
      <c r="G12" s="49"/>
      <c r="H12" s="49"/>
      <c r="I12" s="50"/>
      <c r="J12" s="14">
        <v>6000</v>
      </c>
    </row>
    <row r="13" spans="2:10" x14ac:dyDescent="0.25">
      <c r="B13" s="48" t="s">
        <v>16</v>
      </c>
      <c r="C13" s="49"/>
      <c r="D13" s="49"/>
      <c r="E13" s="49"/>
      <c r="F13" s="49"/>
      <c r="G13" s="49"/>
      <c r="H13" s="49"/>
      <c r="I13" s="50"/>
      <c r="J13" s="21">
        <v>6.0000000000000001E-3</v>
      </c>
    </row>
    <row r="14" spans="2:10" ht="15.75" thickBot="1" x14ac:dyDescent="0.3">
      <c r="B14" s="48" t="s">
        <v>17</v>
      </c>
      <c r="C14" s="49"/>
      <c r="D14" s="49"/>
      <c r="E14" s="49"/>
      <c r="F14" s="49"/>
      <c r="G14" s="49"/>
      <c r="H14" s="49"/>
      <c r="I14" s="50"/>
      <c r="J14" s="13">
        <f>J12*30%</f>
        <v>1800</v>
      </c>
    </row>
    <row r="15" spans="2:10" x14ac:dyDescent="0.25"/>
    <row r="16" spans="2:10" ht="2.25" customHeight="1" thickBot="1" x14ac:dyDescent="0.3"/>
    <row r="17" spans="1:4" ht="39" customHeight="1" x14ac:dyDescent="0.25">
      <c r="B17" s="22" t="s">
        <v>6</v>
      </c>
      <c r="C17" s="23"/>
      <c r="D17" s="24"/>
    </row>
    <row r="18" spans="1:4" ht="16.5" x14ac:dyDescent="0.3">
      <c r="B18" s="17" t="s">
        <v>1</v>
      </c>
      <c r="C18" s="18"/>
      <c r="D18" s="2">
        <v>1000</v>
      </c>
    </row>
    <row r="19" spans="1:4" ht="16.5" x14ac:dyDescent="0.3">
      <c r="B19" s="17" t="s">
        <v>2</v>
      </c>
      <c r="C19" s="18"/>
      <c r="D19" s="3">
        <v>10</v>
      </c>
    </row>
    <row r="20" spans="1:4" ht="16.5" x14ac:dyDescent="0.3">
      <c r="B20" s="17" t="s">
        <v>3</v>
      </c>
      <c r="C20" s="18"/>
      <c r="D20" s="4">
        <v>1.0789999999999999E-2</v>
      </c>
    </row>
    <row r="21" spans="1:4" ht="16.5" x14ac:dyDescent="0.3">
      <c r="B21" s="19" t="s">
        <v>4</v>
      </c>
      <c r="C21" s="20"/>
      <c r="D21" s="15">
        <f>FV(taxa_mensal,tempo_investido*12,investimento_mensal*-1)</f>
        <v>243284.2125301722</v>
      </c>
    </row>
    <row r="22" spans="1:4" ht="17.25" thickBot="1" x14ac:dyDescent="0.35">
      <c r="B22" s="25" t="s">
        <v>5</v>
      </c>
      <c r="C22" s="26"/>
      <c r="D22" s="16">
        <f>patrimonio*Rendimento_carteira</f>
        <v>1459.7052751810331</v>
      </c>
    </row>
    <row r="23" spans="1:4" ht="15.75" thickBot="1" x14ac:dyDescent="0.3"/>
    <row r="24" spans="1:4" ht="24" x14ac:dyDescent="0.25">
      <c r="B24" s="22" t="s">
        <v>12</v>
      </c>
      <c r="C24" s="23"/>
      <c r="D24" s="6" t="s">
        <v>13</v>
      </c>
    </row>
    <row r="25" spans="1:4" x14ac:dyDescent="0.25">
      <c r="A25" s="5">
        <v>2</v>
      </c>
      <c r="B25" s="7" t="s">
        <v>7</v>
      </c>
      <c r="C25" s="9">
        <f>FV($D$20,A25*12,$D$18*-1)</f>
        <v>27227.627297645216</v>
      </c>
      <c r="D25" s="10">
        <f>C25*Rendimento_carteira</f>
        <v>163.36576378587131</v>
      </c>
    </row>
    <row r="26" spans="1:4" x14ac:dyDescent="0.25">
      <c r="A26" s="5">
        <v>5</v>
      </c>
      <c r="B26" s="1" t="s">
        <v>8</v>
      </c>
      <c r="C26" s="11">
        <f>FV($D$20,A26*12,$D$18*-1)</f>
        <v>83776.913998487638</v>
      </c>
      <c r="D26" s="10">
        <f>C26*Rendimento_carteira</f>
        <v>502.66148399092583</v>
      </c>
    </row>
    <row r="27" spans="1:4" x14ac:dyDescent="0.25">
      <c r="A27" s="5">
        <v>10</v>
      </c>
      <c r="B27" s="1" t="s">
        <v>9</v>
      </c>
      <c r="C27" s="11">
        <f>FV($D$20,A27*12,$D$18*-1)</f>
        <v>243284.2125301722</v>
      </c>
      <c r="D27" s="10">
        <f>C27*Rendimento_carteira</f>
        <v>1459.7052751810331</v>
      </c>
    </row>
    <row r="28" spans="1:4" x14ac:dyDescent="0.25">
      <c r="A28" s="5">
        <v>20</v>
      </c>
      <c r="B28" s="1" t="s">
        <v>10</v>
      </c>
      <c r="C28" s="11">
        <f>FV($D$20,A28*12,$D$18*-1)</f>
        <v>1125198.4000970805</v>
      </c>
      <c r="D28" s="10">
        <f>C28*Rendimento_carteira</f>
        <v>6751.1904005824836</v>
      </c>
    </row>
    <row r="29" spans="1:4" ht="15.75" thickBot="1" x14ac:dyDescent="0.3">
      <c r="A29" s="5">
        <v>30</v>
      </c>
      <c r="B29" s="8" t="s">
        <v>11</v>
      </c>
      <c r="C29" s="12">
        <f>FV($D$20,A29*12,$D$18*-1)</f>
        <v>4322169.6550047146</v>
      </c>
      <c r="D29" s="27">
        <f>C29*Rendimento_carteira</f>
        <v>25933.017930028287</v>
      </c>
    </row>
    <row r="30" spans="1:4" x14ac:dyDescent="0.25"/>
    <row r="31" spans="1:4" x14ac:dyDescent="0.25"/>
    <row r="34" spans="2:4" x14ac:dyDescent="0.25">
      <c r="B34" s="28" t="s">
        <v>18</v>
      </c>
      <c r="C34" s="29" t="s">
        <v>30</v>
      </c>
      <c r="D34" s="28"/>
    </row>
    <row r="35" spans="2:4" x14ac:dyDescent="0.25">
      <c r="B35" s="30" t="s">
        <v>29</v>
      </c>
      <c r="C35" s="31">
        <v>200</v>
      </c>
      <c r="D35" s="30"/>
    </row>
    <row r="36" spans="2:4" x14ac:dyDescent="0.25">
      <c r="B36" s="32"/>
      <c r="C36" s="33"/>
      <c r="D36" s="32"/>
    </row>
    <row r="37" spans="2:4" ht="16.5" x14ac:dyDescent="0.3">
      <c r="B37" s="35" t="s">
        <v>20</v>
      </c>
      <c r="C37" s="35" t="s">
        <v>21</v>
      </c>
      <c r="D37" s="35" t="s">
        <v>22</v>
      </c>
    </row>
    <row r="38" spans="2:4" x14ac:dyDescent="0.25">
      <c r="B38" t="s">
        <v>23</v>
      </c>
      <c r="C38" s="44">
        <f>VLOOKUP(PERFIL&amp;"-"&amp;B38,BASE!$A$2:$D$20,4,0)</f>
        <v>0.3</v>
      </c>
      <c r="D38">
        <f>INVEST_PERFIL*C38</f>
        <v>60</v>
      </c>
    </row>
    <row r="39" spans="2:4" x14ac:dyDescent="0.25">
      <c r="B39" t="s">
        <v>24</v>
      </c>
      <c r="C39" s="44">
        <f>VLOOKUP(PERFIL&amp;"-"&amp;B39,BASE!$A$2:$D$20,4,0)</f>
        <v>0.5</v>
      </c>
      <c r="D39">
        <f>INVEST_PERFIL*C39</f>
        <v>100</v>
      </c>
    </row>
    <row r="40" spans="2:4" x14ac:dyDescent="0.25">
      <c r="B40" t="s">
        <v>25</v>
      </c>
      <c r="C40" s="44">
        <f>VLOOKUP(PERFIL&amp;"-"&amp;B40,BASE!$A$2:$D$20,4,0)</f>
        <v>0.1</v>
      </c>
      <c r="D40">
        <f>INVEST_PERFIL*C40</f>
        <v>20</v>
      </c>
    </row>
    <row r="41" spans="2:4" x14ac:dyDescent="0.25">
      <c r="B41" t="s">
        <v>26</v>
      </c>
      <c r="C41" s="44">
        <f>VLOOKUP(PERFIL&amp;"-"&amp;B41,BASE!$A$2:$D$20,4,0)</f>
        <v>0.1</v>
      </c>
      <c r="D41">
        <f>INVEST_PERFIL*C41</f>
        <v>20</v>
      </c>
    </row>
    <row r="42" spans="2:4" x14ac:dyDescent="0.25">
      <c r="B42" t="s">
        <v>27</v>
      </c>
      <c r="C42" s="44">
        <f>VLOOKUP(PERFIL&amp;"-"&amp;B42,BASE!$A$2:$D$20,4,0)</f>
        <v>0</v>
      </c>
      <c r="D42">
        <f>INVEST_PERFIL*C42</f>
        <v>0</v>
      </c>
    </row>
    <row r="43" spans="2:4" x14ac:dyDescent="0.25">
      <c r="B43" t="s">
        <v>28</v>
      </c>
      <c r="C43" s="44">
        <f>VLOOKUP(PERFIL&amp;"-"&amp;B43,BASE!$A$2:$D$20,4,0)</f>
        <v>0</v>
      </c>
      <c r="D43">
        <f>INVEST_PERFIL*C43</f>
        <v>0</v>
      </c>
    </row>
    <row r="44" spans="2:4" ht="16.5" x14ac:dyDescent="0.3">
      <c r="B44" s="35"/>
      <c r="C44" s="35"/>
      <c r="D44" s="36">
        <f>SUM(D38:D43)</f>
        <v>200</v>
      </c>
    </row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</sheetData>
  <mergeCells count="11">
    <mergeCell ref="B11:J11"/>
    <mergeCell ref="B12:I12"/>
    <mergeCell ref="B13:I13"/>
    <mergeCell ref="B14:I14"/>
    <mergeCell ref="B24:C24"/>
    <mergeCell ref="B18:C18"/>
    <mergeCell ref="B19:C19"/>
    <mergeCell ref="B20:C20"/>
    <mergeCell ref="B21:C21"/>
    <mergeCell ref="B22:C22"/>
    <mergeCell ref="B17:D17"/>
  </mergeCells>
  <dataValidations count="1">
    <dataValidation type="list" allowBlank="1" showInputMessage="1" showErrorMessage="1" sqref="C34" xr:uid="{A98D4B84-12F5-4683-8692-39376EEFAF0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8C77-A68C-4C19-981D-05464FD9610A}">
  <dimension ref="A2:D20"/>
  <sheetViews>
    <sheetView workbookViewId="0">
      <selection activeCell="D13" sqref="D13"/>
    </sheetView>
  </sheetViews>
  <sheetFormatPr defaultRowHeight="15" x14ac:dyDescent="0.25"/>
  <cols>
    <col min="1" max="1" width="39" bestFit="1" customWidth="1"/>
    <col min="2" max="2" width="12.140625" bestFit="1" customWidth="1"/>
    <col min="3" max="3" width="18.5703125" bestFit="1" customWidth="1"/>
  </cols>
  <sheetData>
    <row r="2" spans="1:4" ht="15.75" thickBot="1" x14ac:dyDescent="0.3">
      <c r="A2" s="34" t="s">
        <v>31</v>
      </c>
      <c r="B2" s="34" t="s">
        <v>32</v>
      </c>
      <c r="C2" s="34" t="s">
        <v>20</v>
      </c>
      <c r="D2" s="34" t="s">
        <v>33</v>
      </c>
    </row>
    <row r="3" spans="1:4" ht="15.75" thickBot="1" x14ac:dyDescent="0.3">
      <c r="A3" s="40" t="str">
        <f>B3&amp;"-"&amp;C3</f>
        <v>Conservador-PAPEL</v>
      </c>
      <c r="B3" s="38" t="s">
        <v>30</v>
      </c>
      <c r="C3" s="38" t="s">
        <v>23</v>
      </c>
      <c r="D3" s="41">
        <v>0.3</v>
      </c>
    </row>
    <row r="4" spans="1:4" ht="15.75" thickBot="1" x14ac:dyDescent="0.3">
      <c r="A4" s="40" t="str">
        <f t="shared" ref="A4:A20" si="0">B4&amp;"-"&amp;C4</f>
        <v>Conservador-TIJOLO</v>
      </c>
      <c r="B4" s="39" t="s">
        <v>30</v>
      </c>
      <c r="C4" s="39" t="s">
        <v>24</v>
      </c>
      <c r="D4" s="42">
        <v>0.5</v>
      </c>
    </row>
    <row r="5" spans="1:4" ht="15.75" thickBot="1" x14ac:dyDescent="0.3">
      <c r="A5" s="40" t="str">
        <f t="shared" si="0"/>
        <v>Conservador-HIBRIDO</v>
      </c>
      <c r="B5" s="39" t="s">
        <v>30</v>
      </c>
      <c r="C5" s="39" t="s">
        <v>25</v>
      </c>
      <c r="D5" s="42">
        <v>0.1</v>
      </c>
    </row>
    <row r="6" spans="1:4" ht="15.75" thickBot="1" x14ac:dyDescent="0.3">
      <c r="A6" s="40" t="str">
        <f t="shared" si="0"/>
        <v>Conservador-FOFs</v>
      </c>
      <c r="B6" s="39" t="s">
        <v>30</v>
      </c>
      <c r="C6" s="39" t="s">
        <v>26</v>
      </c>
      <c r="D6" s="42">
        <v>0.1</v>
      </c>
    </row>
    <row r="7" spans="1:4" ht="15.75" thickBot="1" x14ac:dyDescent="0.3">
      <c r="A7" s="40" t="str">
        <f t="shared" si="0"/>
        <v>Conservador-DESENVOLVIMENTO</v>
      </c>
      <c r="B7" s="39" t="s">
        <v>30</v>
      </c>
      <c r="C7" s="39" t="s">
        <v>27</v>
      </c>
      <c r="D7" s="42">
        <v>0</v>
      </c>
    </row>
    <row r="8" spans="1:4" ht="15.75" thickBot="1" x14ac:dyDescent="0.3">
      <c r="A8" s="40" t="str">
        <f t="shared" si="0"/>
        <v>Conservador-HOTELARIAS</v>
      </c>
      <c r="B8" s="37" t="s">
        <v>30</v>
      </c>
      <c r="C8" s="37" t="s">
        <v>28</v>
      </c>
      <c r="D8" s="43">
        <v>0</v>
      </c>
    </row>
    <row r="9" spans="1:4" ht="15.75" thickBot="1" x14ac:dyDescent="0.3">
      <c r="A9" s="40" t="str">
        <f t="shared" si="0"/>
        <v>Moderado-PAPEL</v>
      </c>
      <c r="B9" s="38" t="s">
        <v>0</v>
      </c>
      <c r="C9" s="38" t="s">
        <v>23</v>
      </c>
      <c r="D9" s="41">
        <v>0.32</v>
      </c>
    </row>
    <row r="10" spans="1:4" ht="15.75" thickBot="1" x14ac:dyDescent="0.3">
      <c r="A10" s="40" t="str">
        <f t="shared" si="0"/>
        <v>Moderado-TIJOLO</v>
      </c>
      <c r="B10" s="39" t="s">
        <v>0</v>
      </c>
      <c r="C10" s="39" t="s">
        <v>24</v>
      </c>
      <c r="D10" s="42">
        <v>0.35</v>
      </c>
    </row>
    <row r="11" spans="1:4" ht="15.75" thickBot="1" x14ac:dyDescent="0.3">
      <c r="A11" s="40" t="str">
        <f t="shared" si="0"/>
        <v>Moderado-HIBRIDO</v>
      </c>
      <c r="B11" s="39" t="s">
        <v>0</v>
      </c>
      <c r="C11" s="39" t="s">
        <v>25</v>
      </c>
      <c r="D11" s="42">
        <v>0.08</v>
      </c>
    </row>
    <row r="12" spans="1:4" ht="15.75" thickBot="1" x14ac:dyDescent="0.3">
      <c r="A12" s="40" t="str">
        <f t="shared" si="0"/>
        <v>Moderado-FOFs</v>
      </c>
      <c r="B12" s="39" t="s">
        <v>0</v>
      </c>
      <c r="C12" s="39" t="s">
        <v>26</v>
      </c>
      <c r="D12" s="42">
        <v>0.05</v>
      </c>
    </row>
    <row r="13" spans="1:4" ht="15.75" thickBot="1" x14ac:dyDescent="0.3">
      <c r="A13" s="40" t="str">
        <f t="shared" si="0"/>
        <v>Moderado-DESENVOLVIMENTO</v>
      </c>
      <c r="B13" s="39" t="s">
        <v>0</v>
      </c>
      <c r="C13" s="39" t="s">
        <v>27</v>
      </c>
      <c r="D13" s="42">
        <v>0.1</v>
      </c>
    </row>
    <row r="14" spans="1:4" ht="15.75" thickBot="1" x14ac:dyDescent="0.3">
      <c r="A14" s="40" t="str">
        <f t="shared" si="0"/>
        <v>Moderado-HOTELARIAS</v>
      </c>
      <c r="B14" s="37" t="s">
        <v>0</v>
      </c>
      <c r="C14" s="37" t="s">
        <v>28</v>
      </c>
      <c r="D14" s="43">
        <v>0.1</v>
      </c>
    </row>
    <row r="15" spans="1:4" ht="15.75" thickBot="1" x14ac:dyDescent="0.3">
      <c r="A15" s="40" t="str">
        <f t="shared" si="0"/>
        <v>Agressivo-PAPEL</v>
      </c>
      <c r="B15" s="39" t="s">
        <v>19</v>
      </c>
      <c r="C15" s="38" t="s">
        <v>23</v>
      </c>
      <c r="D15" s="42">
        <v>0.5</v>
      </c>
    </row>
    <row r="16" spans="1:4" ht="15.75" thickBot="1" x14ac:dyDescent="0.3">
      <c r="A16" s="40" t="str">
        <f t="shared" si="0"/>
        <v>Agressivo-TIJOLO</v>
      </c>
      <c r="B16" s="39" t="s">
        <v>19</v>
      </c>
      <c r="C16" s="39" t="s">
        <v>24</v>
      </c>
      <c r="D16" s="42">
        <v>0.1</v>
      </c>
    </row>
    <row r="17" spans="1:4" ht="15.75" thickBot="1" x14ac:dyDescent="0.3">
      <c r="A17" s="40" t="str">
        <f t="shared" si="0"/>
        <v>Agressivo-HIBRIDO</v>
      </c>
      <c r="B17" s="39" t="s">
        <v>19</v>
      </c>
      <c r="C17" s="39" t="s">
        <v>25</v>
      </c>
      <c r="D17" s="42">
        <v>0.05</v>
      </c>
    </row>
    <row r="18" spans="1:4" ht="15.75" thickBot="1" x14ac:dyDescent="0.3">
      <c r="A18" s="40" t="str">
        <f t="shared" si="0"/>
        <v>Agressivo-FOFs</v>
      </c>
      <c r="B18" s="39" t="s">
        <v>19</v>
      </c>
      <c r="C18" s="39" t="s">
        <v>26</v>
      </c>
      <c r="D18" s="42">
        <v>0.05</v>
      </c>
    </row>
    <row r="19" spans="1:4" ht="15.75" thickBot="1" x14ac:dyDescent="0.3">
      <c r="A19" s="40" t="str">
        <f t="shared" si="0"/>
        <v>Agressivo-DESENVOLVIMENTO</v>
      </c>
      <c r="B19" s="39" t="s">
        <v>19</v>
      </c>
      <c r="C19" s="39" t="s">
        <v>27</v>
      </c>
      <c r="D19" s="42">
        <v>0.2</v>
      </c>
    </row>
    <row r="20" spans="1:4" ht="15.75" thickBot="1" x14ac:dyDescent="0.3">
      <c r="A20" s="40" t="str">
        <f t="shared" si="0"/>
        <v>Agressivo-HOTELARIAS</v>
      </c>
      <c r="B20" s="37" t="s">
        <v>19</v>
      </c>
      <c r="C20" s="37" t="s">
        <v>28</v>
      </c>
      <c r="D20" s="4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Simulador_de Investimentos</vt:lpstr>
      <vt:lpstr>BASE</vt:lpstr>
      <vt:lpstr>INVEST_PERFIL</vt:lpstr>
      <vt:lpstr>investimento_mensal</vt:lpstr>
      <vt:lpstr>patrimonio</vt:lpstr>
      <vt:lpstr>PERFIL</vt:lpstr>
      <vt:lpstr>Rendimento_carteira</vt:lpstr>
      <vt:lpstr>salario</vt:lpstr>
      <vt:lpstr>suges_Invest</vt:lpstr>
      <vt:lpstr>taxa_mensal</vt:lpstr>
      <vt:lpstr>tempo_investido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Wellison Passos</dc:creator>
  <cp:lastModifiedBy>Wellison Passos</cp:lastModifiedBy>
  <dcterms:created xsi:type="dcterms:W3CDTF">2026-10-05T22:09:03Z</dcterms:created>
  <dcterms:modified xsi:type="dcterms:W3CDTF">2026-10-06T01:10:28Z</dcterms:modified>
</cp:coreProperties>
</file>